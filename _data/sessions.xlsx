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1"/>
  <workbookPr/>
  <mc:AlternateContent xmlns:mc="http://schemas.openxmlformats.org/markup-compatibility/2006">
    <mc:Choice Requires="x15">
      <x15ac:absPath xmlns:x15ac="http://schemas.microsoft.com/office/spreadsheetml/2010/11/ac" url="/Users/nathan/Github/jirelations/25judentum/_data/"/>
    </mc:Choice>
  </mc:AlternateContent>
  <xr:revisionPtr revIDLastSave="0" documentId="13_ncr:1_{B46D1BBA-999A-8145-8EB4-9DD8D3406C06}" xr6:coauthVersionLast="47" xr6:coauthVersionMax="47" xr10:uidLastSave="{00000000-0000-0000-0000-000000000000}"/>
  <bookViews>
    <workbookView xWindow="4680" yWindow="500" windowWidth="33720" windowHeight="21100" xr2:uid="{00000000-000D-0000-FFFF-FFFF00000000}"/>
  </bookViews>
  <sheets>
    <sheet name="ses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T3" i="1"/>
  <c r="T4" i="1"/>
  <c r="T5" i="1"/>
  <c r="T6" i="1"/>
  <c r="T7" i="1"/>
  <c r="T8" i="1"/>
  <c r="V8" i="1" s="1"/>
  <c r="T9" i="1"/>
  <c r="T10" i="1"/>
  <c r="V10" i="1" s="1"/>
  <c r="T11" i="1"/>
  <c r="V11" i="1" s="1"/>
  <c r="T12" i="1"/>
  <c r="T13" i="1"/>
  <c r="T14" i="1"/>
  <c r="T15" i="1"/>
  <c r="V15" i="1" s="1"/>
  <c r="T2" i="1"/>
  <c r="V2" i="1" s="1"/>
  <c r="R15" i="1"/>
  <c r="S15" i="1"/>
  <c r="U15" i="1"/>
  <c r="U14" i="1"/>
  <c r="S14" i="1"/>
  <c r="V14" i="1" s="1"/>
  <c r="R14" i="1"/>
  <c r="U13" i="1"/>
  <c r="S13" i="1"/>
  <c r="V13" i="1" s="1"/>
  <c r="R13" i="1"/>
  <c r="U12" i="1"/>
  <c r="V12" i="1"/>
  <c r="S12" i="1"/>
  <c r="R12" i="1"/>
  <c r="U11" i="1"/>
  <c r="S11" i="1"/>
  <c r="R11" i="1"/>
  <c r="U10" i="1"/>
  <c r="S10" i="1"/>
  <c r="R10" i="1"/>
  <c r="U9" i="1"/>
  <c r="S9" i="1"/>
  <c r="R9" i="1"/>
  <c r="U8" i="1"/>
  <c r="S8" i="1"/>
  <c r="R8" i="1"/>
  <c r="U7" i="1"/>
  <c r="S7" i="1"/>
  <c r="R7" i="1"/>
  <c r="U6" i="1"/>
  <c r="S6" i="1"/>
  <c r="R6" i="1"/>
  <c r="U5" i="1"/>
  <c r="S5" i="1"/>
  <c r="R5" i="1"/>
  <c r="U4" i="1"/>
  <c r="S4" i="1"/>
  <c r="V4" i="1" s="1"/>
  <c r="R4" i="1"/>
  <c r="U3" i="1"/>
  <c r="S3" i="1"/>
  <c r="V3" i="1" s="1"/>
  <c r="R3" i="1"/>
  <c r="S2" i="1"/>
  <c r="R2" i="1"/>
  <c r="V6" i="1" l="1"/>
  <c r="V9" i="1"/>
  <c r="V7" i="1"/>
  <c r="V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2" i="1"/>
  <c r="P2" i="1"/>
  <c r="P4" i="1"/>
  <c r="Q4" i="1" s="1"/>
  <c r="P5" i="1"/>
  <c r="Q5" i="1" s="1"/>
  <c r="P6" i="1"/>
  <c r="Q6" i="1" s="1"/>
  <c r="P8" i="1"/>
  <c r="Q8" i="1" s="1"/>
  <c r="P9" i="1"/>
  <c r="Q9" i="1" s="1"/>
  <c r="P11" i="1"/>
  <c r="Q11" i="1" s="1"/>
  <c r="P12" i="1"/>
  <c r="Q12" i="1" s="1"/>
  <c r="P13" i="1"/>
  <c r="P14" i="1"/>
  <c r="Q14" i="1" s="1"/>
  <c r="P15" i="1"/>
  <c r="Q15" i="1" s="1"/>
  <c r="J2" i="1"/>
  <c r="J4" i="1"/>
  <c r="J5" i="1"/>
  <c r="J6" i="1"/>
  <c r="J8" i="1"/>
  <c r="J9" i="1"/>
  <c r="J11" i="1"/>
  <c r="J12" i="1"/>
  <c r="J13" i="1"/>
  <c r="J14" i="1"/>
  <c r="J15" i="1"/>
  <c r="L4" i="1"/>
  <c r="L5" i="1"/>
  <c r="L6" i="1"/>
  <c r="L8" i="1"/>
  <c r="L9" i="1"/>
  <c r="L11" i="1"/>
  <c r="L12" i="1"/>
  <c r="L13" i="1"/>
  <c r="L14" i="1"/>
  <c r="L15" i="1"/>
  <c r="L2" i="1"/>
  <c r="Q13" i="1"/>
  <c r="Q2" i="1"/>
  <c r="D8" i="1" l="1"/>
  <c r="D6" i="1"/>
  <c r="D4" i="1"/>
  <c r="D9" i="1"/>
  <c r="D5" i="1"/>
  <c r="D14" i="1"/>
  <c r="D13" i="1"/>
  <c r="D15" i="1"/>
  <c r="D11" i="1"/>
  <c r="D12" i="1"/>
  <c r="D2" i="1"/>
</calcChain>
</file>

<file path=xl/sharedStrings.xml><?xml version="1.0" encoding="utf-8"?>
<sst xmlns="http://schemas.openxmlformats.org/spreadsheetml/2006/main" count="91" uniqueCount="79">
  <si>
    <t>blank</t>
  </si>
  <si>
    <t>session</t>
  </si>
  <si>
    <t>date</t>
  </si>
  <si>
    <t>filename</t>
  </si>
  <si>
    <t>unit</t>
  </si>
  <si>
    <t>topic</t>
  </si>
  <si>
    <t>title</t>
  </si>
  <si>
    <t>pad-slug</t>
  </si>
  <si>
    <t>image</t>
  </si>
  <si>
    <t>zotero-tag</t>
  </si>
  <si>
    <t>zotero-readings</t>
  </si>
  <si>
    <t>objective</t>
  </si>
  <si>
    <t>tags</t>
  </si>
  <si>
    <t>contents</t>
  </si>
  <si>
    <t>concepts</t>
  </si>
  <si>
    <t>long-topic</t>
  </si>
  <si>
    <t>Aufgabe</t>
  </si>
  <si>
    <t>2025-05-01-labor-day.md</t>
  </si>
  <si>
    <t>2025-05-29-ascension.md</t>
  </si>
  <si>
    <t>2025-06-19-corpus-christi.md</t>
  </si>
  <si>
    <t>Was bedeutet es, jüdisch zu sein?</t>
  </si>
  <si>
    <t>Tempel &amp; Synagogen</t>
  </si>
  <si>
    <t>Exkursion</t>
  </si>
  <si>
    <t>Rückblick</t>
  </si>
  <si>
    <t>Rabbiner &amp; messianische Bewegungen</t>
  </si>
  <si>
    <t>Fundamenten</t>
  </si>
  <si>
    <t>Historische Auseinandersetzungen</t>
  </si>
  <si>
    <t>Thora &amp; Bund</t>
  </si>
  <si>
    <t>Sprachen &amp; kulturelle Konvergenzen</t>
  </si>
  <si>
    <t>Mischna, Talmud &amp; Midrasch</t>
  </si>
  <si>
    <t>Was haben Sie in diesem Kurs gelernt?</t>
  </si>
  <si>
    <t>Tag der Arbeit (vorlesungsfrei)</t>
  </si>
  <si>
    <t>Christi Himmelfahrt (vorlesungsfrei)</t>
  </si>
  <si>
    <t>Fronleichnam (vorlesungsfrei)</t>
  </si>
  <si>
    <t>Wie werden die heiligen Schriften ausgelegt (und von wem)?</t>
  </si>
  <si>
    <t>Einführung</t>
  </si>
  <si>
    <t>Wie haben sich Juden von anderen Monotheisten unterschieden?</t>
  </si>
  <si>
    <t>Wie trennten sich die Wege der verschiedenen Sekten?</t>
  </si>
  <si>
    <t>Warum verstanden sich Israeliten als "Gottes Volk"?</t>
  </si>
  <si>
    <t>Juden, Samaritaner &amp; Gottesfürchtige</t>
  </si>
  <si>
    <t>Heiligkeit, heilige Orte, Rituale</t>
  </si>
  <si>
    <t>Schriftlichkeit</t>
  </si>
  <si>
    <t>Schriftlichkeit, Mündlichkeit, Normativität</t>
  </si>
  <si>
    <t>Wie gestaltete sich jüdisches Leben in der Diaspora?</t>
  </si>
  <si>
    <t>Hybridität</t>
  </si>
  <si>
    <t xml:space="preserve">Die Entwicklung der jüdischen Selbstbestimmung skizzieren. </t>
  </si>
  <si>
    <t>Übergangsriten, Reinheit</t>
  </si>
  <si>
    <t>Kernbegriffe jüdischen Selbstverständnisses auf Basis der Bibel skizzieren.</t>
  </si>
  <si>
    <t>Antike israelitische und jüdische Heiligkeitskonzepte in Bezug auf Gebetsorte und Rituale erläutern.</t>
  </si>
  <si>
    <t>Einige jüdische sakrale Texte aufzählen und ihr Zusammenspiel mit mündlichen Praktiken erläutern.</t>
  </si>
  <si>
    <t>Beispiele für die Folgen des sprachlichen und kulturellen Kontakts mit dem Aramäischen und Griechischen nennen.</t>
  </si>
  <si>
    <t>1. Über die persönlichen Ziele des Kurses nachdenken.
2. Über einige Faktoren jüdischer Identität reflektieren.</t>
  </si>
  <si>
    <t>Gründe nennen, warum die Rabbiner nicht als alleinige Repräsentanten des Judentums in den ersten Jahrhunderten u.Z. anzusehen sind.</t>
  </si>
  <si>
    <t>Das im Kurs neu erworbene Wissen zusammenfassen und festigen.</t>
  </si>
  <si>
    <t>solomonEinleitungUndKapitel2022</t>
  </si>
  <si>
    <t>Eigene Definition aufschreiben: Wer ist jüdisch?</t>
  </si>
  <si>
    <t>Welche Bedeutung haben die Form und der Ort der Anbetung?</t>
  </si>
  <si>
    <t>Rabbiner, Karäer und Muslime</t>
  </si>
  <si>
    <t>Wie positionierten sich Rabbiner als die Wahren gegenüber Karäern und Muslimen?</t>
  </si>
  <si>
    <t>Einige Unterschiede zwischen Rabbinern, Karäern und Muslimen benennen.</t>
  </si>
  <si>
    <t>tallit-boy.jpg</t>
  </si>
  <si>
    <t>20090409-MT-gerizem-sameritan-sacrifice-highpriests-003-2.jpg</t>
  </si>
  <si>
    <t>torah-islamicate.jpg</t>
  </si>
  <si>
    <t>bar-kokhba-weight.jpg</t>
  </si>
  <si>
    <t>beit-alpha-zodiac.jpg</t>
  </si>
  <si>
    <t>dura-europos-synagogue-well.jpg</t>
  </si>
  <si>
    <t>dura-europos-moses-sea.jpg</t>
  </si>
  <si>
    <t>menorah-budapest.jpg</t>
  </si>
  <si>
    <t>torah-crown.jpg</t>
  </si>
  <si>
    <t>mishnah-frankfurt.jpg</t>
  </si>
  <si>
    <t>scroll.jpg</t>
  </si>
  <si>
    <t>Heiligkeit, heilige Orte</t>
  </si>
  <si>
    <t>slide-filename</t>
  </si>
  <si>
    <t>slide-frontmatter</t>
  </si>
  <si>
    <t>slide-body1</t>
  </si>
  <si>
    <t>slide-body2</t>
  </si>
  <si>
    <t>slide-content</t>
  </si>
  <si>
    <t>cohn-sherbokJudischeGlaubensuberzeugungenUnd2000</t>
  </si>
  <si>
    <t>solomon3WieEntwickelte2022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</si>
</sst>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-F800]dddd\,\ mmmm\ dd\,\ yyyy"/>
    <numFmt numFmtId="166" formatCode="dd\.mm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Trebuchet MS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7CE"/>
        <bgColor rgb="FF00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8" fillId="2" borderId="0" applyNumberFormat="0" applyBorder="0" applyAlignment="0" applyProtection="0"/>
  </cellStyleXfs>
  <cellXfs count="23">
    <xf numFmtId="0" fontId="0" fillId="0" borderId="0" xfId="0"/>
    <xf numFmtId="0" fontId="5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3" fontId="6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5" fontId="0" fillId="0" borderId="0" xfId="0" applyNumberFormat="1"/>
    <xf numFmtId="166" fontId="6" fillId="0" borderId="1" xfId="0" applyNumberFormat="1" applyFont="1" applyBorder="1" applyAlignment="1">
      <alignment horizontal="left"/>
    </xf>
    <xf numFmtId="0" fontId="4" fillId="0" borderId="0" xfId="0" applyFont="1"/>
    <xf numFmtId="0" fontId="7" fillId="0" borderId="1" xfId="0" applyFont="1" applyBorder="1"/>
    <xf numFmtId="0" fontId="3" fillId="0" borderId="0" xfId="0" applyFont="1"/>
    <xf numFmtId="0" fontId="0" fillId="0" borderId="0" xfId="0" applyAlignment="1">
      <alignment wrapText="1"/>
    </xf>
    <xf numFmtId="0" fontId="8" fillId="2" borderId="0" xfId="1"/>
    <xf numFmtId="3" fontId="8" fillId="2" borderId="1" xfId="1" applyNumberFormat="1" applyBorder="1" applyAlignment="1">
      <alignment horizontal="right"/>
    </xf>
    <xf numFmtId="166" fontId="8" fillId="2" borderId="1" xfId="1" applyNumberFormat="1" applyBorder="1" applyAlignment="1">
      <alignment horizontal="left"/>
    </xf>
    <xf numFmtId="164" fontId="8" fillId="2" borderId="1" xfId="1" applyNumberFormat="1" applyBorder="1" applyAlignment="1">
      <alignment horizontal="left"/>
    </xf>
    <xf numFmtId="165" fontId="8" fillId="2" borderId="0" xfId="1" applyNumberFormat="1"/>
    <xf numFmtId="0" fontId="8" fillId="2" borderId="0" xfId="1" applyAlignment="1">
      <alignment wrapText="1"/>
    </xf>
    <xf numFmtId="164" fontId="7" fillId="0" borderId="1" xfId="0" applyNumberFormat="1" applyFont="1" applyBorder="1" applyAlignment="1">
      <alignment horizontal="left"/>
    </xf>
    <xf numFmtId="164" fontId="8" fillId="3" borderId="1" xfId="0" applyNumberFormat="1" applyFont="1" applyFill="1" applyBorder="1" applyAlignment="1">
      <alignment horizontal="left"/>
    </xf>
    <xf numFmtId="0" fontId="2" fillId="0" borderId="0" xfId="0" applyFont="1"/>
    <xf numFmtId="0" fontId="1" fillId="0" borderId="0" xfId="0" applyFont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V31"/>
  <sheetViews>
    <sheetView tabSelected="1" topLeftCell="B1" zoomScale="142" zoomScaleNormal="140" workbookViewId="0">
      <pane xSplit="6" ySplit="1" topLeftCell="L2" activePane="bottomRight" state="frozen"/>
      <selection activeCell="B1" sqref="B1"/>
      <selection pane="topRight" activeCell="H1" sqref="H1"/>
      <selection pane="bottomLeft" activeCell="B2" sqref="B2"/>
      <selection pane="bottomRight" activeCell="M8" sqref="M8"/>
    </sheetView>
  </sheetViews>
  <sheetFormatPr baseColWidth="10" defaultColWidth="8.83203125" defaultRowHeight="15" x14ac:dyDescent="0.2"/>
  <cols>
    <col min="1" max="1" width="12.5" hidden="1" customWidth="1"/>
    <col min="2" max="2" width="3.5" style="5" customWidth="1"/>
    <col min="3" max="3" width="6.1640625" customWidth="1"/>
    <col min="4" max="4" width="15.33203125" style="6" customWidth="1"/>
    <col min="5" max="5" width="26.83203125" customWidth="1"/>
    <col min="6" max="6" width="36.6640625" customWidth="1"/>
    <col min="7" max="7" width="35.6640625" customWidth="1"/>
    <col min="8" max="8" width="61" customWidth="1"/>
    <col min="9" max="9" width="27.1640625" customWidth="1"/>
    <col min="10" max="10" width="13.1640625" style="5" bestFit="1" customWidth="1"/>
    <col min="11" max="11" width="12.5" bestFit="1" customWidth="1"/>
    <col min="12" max="12" width="31.83203125" bestFit="1" customWidth="1"/>
    <col min="13" max="13" width="16.6640625" bestFit="1" customWidth="1"/>
    <col min="14" max="15" width="77.83203125" customWidth="1"/>
    <col min="16" max="16" width="12.5" bestFit="1" customWidth="1"/>
    <col min="17" max="17" width="12.5" customWidth="1"/>
    <col min="18" max="18" width="32.5" customWidth="1"/>
    <col min="19" max="19" width="39.6640625" customWidth="1"/>
    <col min="20" max="20" width="24.83203125" customWidth="1"/>
  </cols>
  <sheetData>
    <row r="1" spans="1:22" ht="19.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14</v>
      </c>
      <c r="I1" s="1" t="s">
        <v>6</v>
      </c>
      <c r="J1" s="2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16</v>
      </c>
      <c r="P1" s="1" t="s">
        <v>12</v>
      </c>
      <c r="Q1" s="1" t="s">
        <v>13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 ht="18" customHeight="1" x14ac:dyDescent="0.2">
      <c r="B2" s="3">
        <v>1</v>
      </c>
      <c r="C2" s="8">
        <v>45771</v>
      </c>
      <c r="D2" s="4" t="str">
        <f t="shared" ref="D2:D15" si="0">IF(LEN(C2),TEXT(C2, "YYYY-MM-DD") &amp; "-" &amp; B2 &amp; ".md",)</f>
        <v>2025-04-24-1.md</v>
      </c>
      <c r="E2" s="19" t="s">
        <v>25</v>
      </c>
      <c r="F2" s="4" t="s">
        <v>35</v>
      </c>
      <c r="G2" s="4" t="s">
        <v>20</v>
      </c>
      <c r="H2" s="7"/>
      <c r="I2" t="str">
        <f>B2 &amp; ". " &amp; E2 &amp; ": " &amp; F2</f>
        <v>1. Fundamenten: Einführung</v>
      </c>
      <c r="J2" s="3">
        <f t="shared" ref="J2:J15" si="1">B2</f>
        <v>1</v>
      </c>
      <c r="K2" t="s">
        <v>60</v>
      </c>
      <c r="L2" t="str">
        <f>SUBSTITUTE(SUBSTITUTE(SUBSTITUTE(SUBSTITUTE(B2 &amp; ". " &amp; F2,".",""),"&amp;","")," ","-"),"--","-")</f>
        <v>1-Einführung</v>
      </c>
      <c r="N2" s="12" t="s">
        <v>51</v>
      </c>
      <c r="P2" t="str">
        <f t="shared" ref="P2:P15" si="2">"["&amp;B2&amp;"]"</f>
        <v>[1]</v>
      </c>
      <c r="Q2" t="str">
        <f t="shared" ref="Q2:Q15" si="3">"---
layout: post
" &amp; B$1 &amp; ": " &amp; B2 &amp; "
" &amp; P$1 &amp; ": " &amp; P2 &amp; "
level: overview
---"</f>
        <v>---
layout: post
session: 1
tags: [1]
level: overview
---</v>
      </c>
      <c r="R2" t="str">
        <f>_xlfn.REGEXREPLACE(D2,"\.md","-slides.md")</f>
        <v>2025-04-24-1-slides.md</v>
      </c>
      <c r="S2" t="str">
        <f>"---
layout: reveal
title: '"&amp;G2&amp;"'
author: 'Nathan Gibson'
session: "&amp;B2&amp;"
tags: ["&amp;B2&amp;",slides]
category: slides
image: "&amp;K2&amp;"
parallaxBackgroundImage: 'assets/img/"&amp;K2&amp;"'
---
"</f>
        <v xml:space="preserve">---
layout: reveal
title: 'Was bedeutet es, jüdisch zu sein?'
author: 'Nathan Gibson'
session: 1
tags: [1,slides]
category: slides
image: tallit-boy.jpg
parallaxBackgroundImage: 'assets/img/tallit-boy.jpg'
---
</v>
      </c>
      <c r="T2" t="str">
        <f>"# Einführung ins Judentum
{: .r-fit-text}
### "&amp;G2&amp;"
Sommersemester 2025
Prof. Dr. Nathan Gibson
## 📈 Rückblick: Lernziel
"&amp;N1&amp;"
## 📈 Rückblick: 
## Projekt
## Einleitung
## Heutiges Lernziel
"&amp;N2</f>
        <v># Einführung ins Judentum
{: .r-fit-text}
### Was bedeutet es, jüdisch zu sein?
Sommersemester 2025
Prof. Dr. Nathan Gibson
## 📈 Rückblick: Lernziel
objective
## 📈 Rückblick: 
## Projekt
## Einleitung
## Heutiges Lernziel
1. Über die persönlichen Ziele des Kurses nachdenken.
2. Über einige Faktoren jüdischer Identität reflektieren.</v>
      </c>
      <c r="U2" t="str">
        <f>"
## Lektüre
## Diskussion
## Vorschau
"&amp;G3</f>
        <v xml:space="preserve">
## Lektüre
## Diskussion
## Vorschau
</v>
      </c>
      <c r="V2" t="str">
        <f>_xlfn.CONCAT(S2:U2)</f>
        <v xml:space="preserve">---
layout: reveal
title: 'Was bedeutet es, jüdisch zu sein?'
author: 'Nathan Gibson'
session: 1
tags: [1,slides]
category: slides
image: tallit-boy.jpg
parallaxBackgroundImage: 'assets/img/tallit-boy.jpg'
---
# Einführung ins Judentum
{: .r-fit-text}
### Was bedeutet es, jüdisch zu sein?
Sommersemester 2025
Prof. Dr. Nathan Gibson
## 📈 Rückblick: Lernziel
objective
## 📈 Rückblick: 
## Projekt
## Einleitung
## Heutiges Lernziel
1. Über die persönlichen Ziele des Kurses nachdenken.
2. Über einige Faktoren jüdischer Identität reflektieren.
## Lektüre
## Diskussion
## Vorschau
</v>
      </c>
    </row>
    <row r="3" spans="1:22" s="13" customFormat="1" ht="18" customHeight="1" x14ac:dyDescent="0.2">
      <c r="B3" s="14"/>
      <c r="C3" s="15">
        <v>45778</v>
      </c>
      <c r="D3" s="16" t="s">
        <v>17</v>
      </c>
      <c r="E3" s="20" t="s">
        <v>31</v>
      </c>
      <c r="F3" s="20" t="s">
        <v>31</v>
      </c>
      <c r="G3" s="16"/>
      <c r="H3" s="17"/>
      <c r="I3" s="13" t="str">
        <f t="shared" ref="I3:I15" si="4">B3 &amp; ". " &amp; E3 &amp; ": " &amp; F3</f>
        <v>. Tag der Arbeit (vorlesungsfrei): Tag der Arbeit (vorlesungsfrei)</v>
      </c>
      <c r="J3" s="14"/>
      <c r="N3" s="18"/>
      <c r="R3" t="str">
        <f t="shared" ref="R3:R14" si="5">_xlfn.REGEXREPLACE(D3,"\.md","-slides.md")</f>
        <v>2025-05-01-labor-day-slides.md</v>
      </c>
      <c r="S3" t="str">
        <f t="shared" ref="S3:S14" si="6">"---
layout: reveal
title: '"&amp;G3&amp;"'
author: 'Nathan Gibson'
session: "&amp;B3&amp;"
tags: ["&amp;B3&amp;",slides]
category: slides
image: "&amp;K3&amp;"
parallaxBackgroundImage: 'assets/img/"&amp;K3&amp;"'
---
"</f>
        <v xml:space="preserve">---
layout: reveal
title: ''
author: 'Nathan Gibson'
session: 
tags: [,slides]
category: slides
image: 
parallaxBackgroundImage: 'assets/img/'
---
</v>
      </c>
      <c r="T3" t="str">
        <f t="shared" ref="T3:T15" si="7">"# Einführung ins Judentum
{: .r-fit-text}
### "&amp;G3&amp;"
Sommersemester 2025
Prof. Dr. Nathan Gibson
## 📈 Rückblick: Lernziel
"&amp;N2&amp;"
## 📈 Rückblick: 
## Projekt
## Einleitung
## Heutiges Lernziel
"&amp;N3</f>
        <v xml:space="preserve"># Einführung ins Judentum
{: .r-fit-text}
### 
Sommersemester 2025
Prof. Dr. Nathan Gibson
## 📈 Rückblick: Lernziel
1. Über die persönlichen Ziele des Kurses nachdenken.
2. Über einige Faktoren jüdischer Identität reflektieren.
## 📈 Rückblick: 
## Projekt
## Einleitung
## Heutiges Lernziel
</v>
      </c>
      <c r="U3" t="str">
        <f t="shared" ref="U3:U14" si="8">"
## Lektüre
## Diskussion
## Vorschau
"&amp;G4</f>
        <v xml:space="preserve">
## Lektüre
## Diskussion
## Vorschau
Warum verstanden sich Israeliten als "Gottes Volk"?</v>
      </c>
      <c r="V3" t="str">
        <f t="shared" ref="V3:V14" si="9">_xlfn.CONCAT(S3:U3)</f>
        <v>---
layout: reveal
title: ''
author: 'Nathan Gibson'
session: 
tags: [,slides]
category: slides
image: 
parallaxBackgroundImage: 'assets/img/'
---
# Einführung ins Judentum
{: .r-fit-text}
### 
Sommersemester 2025
Prof. Dr. Nathan Gibson
## 📈 Rückblick: Lernziel
1. Über die persönlichen Ziele des Kurses nachdenken.
2. Über einige Faktoren jüdischer Identität reflektieren.
## 📈 Rückblick: 
## Projekt
## Einleitung
## Heutiges Lernziel
## Lektüre
## Diskussion
## Vorschau
Warum verstanden sich Israeliten als "Gottes Volk"?</v>
      </c>
    </row>
    <row r="4" spans="1:22" ht="18" customHeight="1" x14ac:dyDescent="0.2">
      <c r="B4" s="3">
        <v>2</v>
      </c>
      <c r="C4" s="8">
        <v>45785</v>
      </c>
      <c r="D4" s="4" t="str">
        <f t="shared" si="0"/>
        <v>2025-05-08-2.md</v>
      </c>
      <c r="E4" s="19" t="s">
        <v>25</v>
      </c>
      <c r="F4" s="4" t="s">
        <v>27</v>
      </c>
      <c r="G4" t="s">
        <v>38</v>
      </c>
      <c r="H4" t="s">
        <v>41</v>
      </c>
      <c r="I4" t="str">
        <f t="shared" si="4"/>
        <v>2. Fundamenten: Thora &amp; Bund</v>
      </c>
      <c r="J4" s="3">
        <f t="shared" si="1"/>
        <v>2</v>
      </c>
      <c r="K4" t="s">
        <v>66</v>
      </c>
      <c r="L4" t="str">
        <f t="shared" ref="L4:L15" si="10">SUBSTITUTE(SUBSTITUTE(SUBSTITUTE(SUBSTITUTE(B4 &amp; ". " &amp; F4,".",""),"&amp;","")," ","-"),"--","-")</f>
        <v>2-Thora-Bund</v>
      </c>
      <c r="M4" s="21" t="s">
        <v>54</v>
      </c>
      <c r="N4" t="s">
        <v>47</v>
      </c>
      <c r="O4" t="s">
        <v>55</v>
      </c>
      <c r="P4" t="str">
        <f t="shared" si="2"/>
        <v>[2]</v>
      </c>
      <c r="Q4" t="str">
        <f t="shared" si="3"/>
        <v>---
layout: post
session: 2
tags: [2]
level: overview
---</v>
      </c>
      <c r="R4" t="str">
        <f t="shared" si="5"/>
        <v>2025-05-08-2-slides.md</v>
      </c>
      <c r="S4" t="str">
        <f t="shared" si="6"/>
        <v xml:space="preserve">---
layout: reveal
title: 'Warum verstanden sich Israeliten als "Gottes Volk"?'
author: 'Nathan Gibson'
session: 2
tags: [2,slides]
category: slides
image: dura-europos-moses-sea.jpg
parallaxBackgroundImage: 'assets/img/dura-europos-moses-sea.jpg'
---
</v>
      </c>
      <c r="T4" t="str">
        <f t="shared" si="7"/>
        <v># Einführung ins Judentum
{: .r-fit-text}
### Warum verstanden sich Israeliten als "Gottes Volk"?
Sommersemester 2025
Prof. Dr. Nathan Gibson
## 📈 Rückblick: Lernziel
## 📈 Rückblick: 
## Projekt
## Einleitung
## Heutiges Lernziel
Kernbegriffe jüdischen Selbstverständnisses auf Basis der Bibel skizzieren.</v>
      </c>
      <c r="U4" t="str">
        <f t="shared" si="8"/>
        <v xml:space="preserve">
## Lektüre
## Diskussion
## Vorschau
Welche Bedeutung haben die Form und der Ort der Anbetung?</v>
      </c>
      <c r="V4" t="str">
        <f t="shared" si="9"/>
        <v>---
layout: reveal
title: 'Warum verstanden sich Israeliten als "Gottes Volk"?'
author: 'Nathan Gibson'
session: 2
tags: [2,slides]
category: slides
image: dura-europos-moses-sea.jpg
parallaxBackgroundImage: 'assets/img/dura-europos-moses-sea.jpg'
---
# Einführung ins Judentum
{: .r-fit-text}
### Warum verstanden sich Israeliten als "Gottes Volk"?
Sommersemester 2025
Prof. Dr. Nathan Gibson
## 📈 Rückblick: Lernziel
## 📈 Rückblick: 
## Projekt
## Einleitung
## Heutiges Lernziel
Kernbegriffe jüdischen Selbstverständnisses auf Basis der Bibel skizzieren.
## Lektüre
## Diskussion
## Vorschau
Welche Bedeutung haben die Form und der Ort der Anbetung?</v>
      </c>
    </row>
    <row r="5" spans="1:22" ht="18" customHeight="1" x14ac:dyDescent="0.2">
      <c r="B5" s="3">
        <v>3</v>
      </c>
      <c r="C5" s="8">
        <v>45792</v>
      </c>
      <c r="D5" s="4" t="str">
        <f t="shared" si="0"/>
        <v>2025-05-15-3.md</v>
      </c>
      <c r="E5" s="19" t="s">
        <v>25</v>
      </c>
      <c r="F5" s="4" t="s">
        <v>21</v>
      </c>
      <c r="G5" t="s">
        <v>56</v>
      </c>
      <c r="H5" s="4" t="s">
        <v>40</v>
      </c>
      <c r="I5" t="str">
        <f t="shared" si="4"/>
        <v>3. Fundamenten: Tempel &amp; Synagogen</v>
      </c>
      <c r="J5" s="3">
        <f t="shared" si="1"/>
        <v>3</v>
      </c>
      <c r="K5" t="s">
        <v>65</v>
      </c>
      <c r="L5" t="str">
        <f t="shared" si="10"/>
        <v>3-Tempel-Synagogen</v>
      </c>
      <c r="M5" s="11" t="s">
        <v>77</v>
      </c>
      <c r="N5" s="12" t="s">
        <v>48</v>
      </c>
      <c r="P5" t="str">
        <f t="shared" si="2"/>
        <v>[3]</v>
      </c>
      <c r="Q5" t="str">
        <f t="shared" si="3"/>
        <v>---
layout: post
session: 3
tags: [3]
level: overview
---</v>
      </c>
      <c r="R5" t="str">
        <f t="shared" si="5"/>
        <v>2025-05-15-3-slides.md</v>
      </c>
      <c r="S5" t="str">
        <f t="shared" si="6"/>
        <v xml:space="preserve">---
layout: reveal
title: 'Welche Bedeutung haben die Form und der Ort der Anbetung?'
author: 'Nathan Gibson'
session: 3
tags: [3,slides]
category: slides
image: dura-europos-synagogue-well.jpg
parallaxBackgroundImage: 'assets/img/dura-europos-synagogue-well.jpg'
---
</v>
      </c>
      <c r="T5" t="str">
        <f t="shared" si="7"/>
        <v># Einführung ins Judentum
{: .r-fit-text}
### Welche Bedeutung haben die Form und der Ort der Anbetung?
Sommersemester 2025
Prof. Dr. Nathan Gibson
## 📈 Rückblick: Lernziel
Kernbegriffe jüdischen Selbstverständnisses auf Basis der Bibel skizzieren.
## 📈 Rückblick: 
## Projekt
## Einleitung
## Heutiges Lernziel
Antike israelitische und jüdische Heiligkeitskonzepte in Bezug auf Gebetsorte und Rituale erläutern.</v>
      </c>
      <c r="U5" t="str">
        <f t="shared" si="8"/>
        <v xml:space="preserve">
## Lektüre
## Diskussion
## Vorschau
</v>
      </c>
      <c r="V5" t="str">
        <f t="shared" si="9"/>
        <v xml:space="preserve">---
layout: reveal
title: 'Welche Bedeutung haben die Form und der Ort der Anbetung?'
author: 'Nathan Gibson'
session: 3
tags: [3,slides]
category: slides
image: dura-europos-synagogue-well.jpg
parallaxBackgroundImage: 'assets/img/dura-europos-synagogue-well.jpg'
---
# Einführung ins Judentum
{: .r-fit-text}
### Welche Bedeutung haben die Form und der Ort der Anbetung?
Sommersemester 2025
Prof. Dr. Nathan Gibson
## 📈 Rückblick: Lernziel
Kernbegriffe jüdischen Selbstverständnisses auf Basis der Bibel skizzieren.
## 📈 Rückblick: 
## Projekt
## Einleitung
## Heutiges Lernziel
Antike israelitische und jüdische Heiligkeitskonzepte in Bezug auf Gebetsorte und Rituale erläutern.
## Lektüre
## Diskussion
## Vorschau
</v>
      </c>
    </row>
    <row r="6" spans="1:22" ht="18" customHeight="1" x14ac:dyDescent="0.2">
      <c r="B6" s="3">
        <v>4</v>
      </c>
      <c r="C6" s="8">
        <v>45799</v>
      </c>
      <c r="D6" s="4" t="str">
        <f t="shared" si="0"/>
        <v>2025-05-22-4.md</v>
      </c>
      <c r="E6" s="19" t="s">
        <v>25</v>
      </c>
      <c r="F6" s="4" t="s">
        <v>22</v>
      </c>
      <c r="H6" s="4" t="s">
        <v>71</v>
      </c>
      <c r="I6" t="str">
        <f t="shared" si="4"/>
        <v>4. Fundamenten: Exkursion</v>
      </c>
      <c r="J6" s="3">
        <f t="shared" si="1"/>
        <v>4</v>
      </c>
      <c r="K6" t="s">
        <v>67</v>
      </c>
      <c r="L6" t="str">
        <f t="shared" si="10"/>
        <v>4-Exkursion</v>
      </c>
      <c r="M6" s="21"/>
      <c r="N6" s="12"/>
      <c r="P6" t="str">
        <f t="shared" si="2"/>
        <v>[4]</v>
      </c>
      <c r="Q6" t="str">
        <f t="shared" si="3"/>
        <v>---
layout: post
session: 4
tags: [4]
level: overview
---</v>
      </c>
      <c r="R6" t="str">
        <f t="shared" si="5"/>
        <v>2025-05-22-4-slides.md</v>
      </c>
      <c r="S6" t="str">
        <f t="shared" si="6"/>
        <v xml:space="preserve">---
layout: reveal
title: ''
author: 'Nathan Gibson'
session: 4
tags: [4,slides]
category: slides
image: menorah-budapest.jpg
parallaxBackgroundImage: 'assets/img/menorah-budapest.jpg'
---
</v>
      </c>
      <c r="T6" t="str">
        <f t="shared" si="7"/>
        <v xml:space="preserve"># Einführung ins Judentum
{: .r-fit-text}
### 
Sommersemester 2025
Prof. Dr. Nathan Gibson
## 📈 Rückblick: Lernziel
Antike israelitische und jüdische Heiligkeitskonzepte in Bezug auf Gebetsorte und Rituale erläutern.
## 📈 Rückblick: 
## Projekt
## Einleitung
## Heutiges Lernziel
</v>
      </c>
      <c r="U6" t="str">
        <f t="shared" si="8"/>
        <v xml:space="preserve">
## Lektüre
## Diskussion
## Vorschau
</v>
      </c>
      <c r="V6" t="str">
        <f t="shared" si="9"/>
        <v xml:space="preserve">---
layout: reveal
title: ''
author: 'Nathan Gibson'
session: 4
tags: [4,slides]
category: slides
image: menorah-budapest.jpg
parallaxBackgroundImage: 'assets/img/menorah-budapest.jpg'
---
# Einführung ins Judentum
{: .r-fit-text}
### 
Sommersemester 2025
Prof. Dr. Nathan Gibson
## 📈 Rückblick: Lernziel
Antike israelitische und jüdische Heiligkeitskonzepte in Bezug auf Gebetsorte und Rituale erläutern.
## 📈 Rückblick: 
## Projekt
## Einleitung
## Heutiges Lernziel
## Lektüre
## Diskussion
## Vorschau
</v>
      </c>
    </row>
    <row r="7" spans="1:22" s="13" customFormat="1" ht="18" customHeight="1" x14ac:dyDescent="0.2">
      <c r="B7" s="14"/>
      <c r="C7" s="15">
        <v>45806</v>
      </c>
      <c r="D7" s="16" t="s">
        <v>18</v>
      </c>
      <c r="E7" s="20" t="s">
        <v>32</v>
      </c>
      <c r="F7" s="20" t="s">
        <v>32</v>
      </c>
      <c r="H7" s="16"/>
      <c r="I7" s="13" t="str">
        <f t="shared" si="4"/>
        <v>. Christi Himmelfahrt (vorlesungsfrei): Christi Himmelfahrt (vorlesungsfrei)</v>
      </c>
      <c r="J7" s="14"/>
      <c r="R7" t="str">
        <f t="shared" si="5"/>
        <v>2025-05-29-ascension-slides.md</v>
      </c>
      <c r="S7" t="str">
        <f t="shared" si="6"/>
        <v xml:space="preserve">---
layout: reveal
title: ''
author: 'Nathan Gibson'
session: 
tags: [,slides]
category: slides
image: 
parallaxBackgroundImage: 'assets/img/'
---
</v>
      </c>
      <c r="T7" t="str">
        <f t="shared" si="7"/>
        <v xml:space="preserve"># Einführung ins Judentum
{: .r-fit-text}
### 
Sommersemester 2025
Prof. Dr. Nathan Gibson
## 📈 Rückblick: Lernziel
## 📈 Rückblick: 
## Projekt
## Einleitung
## Heutiges Lernziel
</v>
      </c>
      <c r="U7" t="str">
        <f t="shared" si="8"/>
        <v xml:space="preserve">
## Lektüre
## Diskussion
## Vorschau
Wie werden die heiligen Schriften ausgelegt (und von wem)?</v>
      </c>
      <c r="V7" t="str">
        <f t="shared" si="9"/>
        <v>---
layout: reveal
title: ''
author: 'Nathan Gibson'
session: 
tags: [,slides]
category: slides
image: 
parallaxBackgroundImage: 'assets/img/'
---
# Einführung ins Judentum
{: .r-fit-text}
### 
Sommersemester 2025
Prof. Dr. Nathan Gibson
## 📈 Rückblick: Lernziel
## 📈 Rückblick: 
## Projekt
## Einleitung
## Heutiges Lernziel
## Lektüre
## Diskussion
## Vorschau
Wie werden die heiligen Schriften ausgelegt (und von wem)?</v>
      </c>
    </row>
    <row r="8" spans="1:22" ht="18" customHeight="1" x14ac:dyDescent="0.2">
      <c r="B8" s="3">
        <v>5</v>
      </c>
      <c r="C8" s="8">
        <v>45813</v>
      </c>
      <c r="D8" s="4" t="str">
        <f t="shared" si="0"/>
        <v>2025-06-05-5.md</v>
      </c>
      <c r="E8" s="19" t="s">
        <v>25</v>
      </c>
      <c r="F8" s="19" t="s">
        <v>29</v>
      </c>
      <c r="G8" t="s">
        <v>34</v>
      </c>
      <c r="H8" t="s">
        <v>42</v>
      </c>
      <c r="I8" t="str">
        <f t="shared" si="4"/>
        <v>5. Fundamenten: Mischna, Talmud &amp; Midrasch</v>
      </c>
      <c r="J8" s="3">
        <f t="shared" si="1"/>
        <v>5</v>
      </c>
      <c r="K8" t="s">
        <v>69</v>
      </c>
      <c r="L8" t="str">
        <f>SUBSTITUTE(SUBSTITUTE(SUBSTITUTE(SUBSTITUTE(B8 &amp; ". " &amp; F8,".",""),"&amp;","")," ","-"),"--","-")</f>
        <v>5-Mischna,-Talmud-Midrasch</v>
      </c>
      <c r="M8" s="22" t="s">
        <v>78</v>
      </c>
      <c r="N8" s="12" t="s">
        <v>49</v>
      </c>
      <c r="P8" t="str">
        <f t="shared" si="2"/>
        <v>[5]</v>
      </c>
      <c r="Q8" t="str">
        <f t="shared" si="3"/>
        <v>---
layout: post
session: 5
tags: [5]
level: overview
---</v>
      </c>
      <c r="R8" t="str">
        <f t="shared" si="5"/>
        <v>2025-06-05-5-slides.md</v>
      </c>
      <c r="S8" t="str">
        <f t="shared" si="6"/>
        <v xml:space="preserve">---
layout: reveal
title: 'Wie werden die heiligen Schriften ausgelegt (und von wem)?'
author: 'Nathan Gibson'
session: 5
tags: [5,slides]
category: slides
image: mishnah-frankfurt.jpg
parallaxBackgroundImage: 'assets/img/mishnah-frankfurt.jpg'
---
</v>
      </c>
      <c r="T8" t="str">
        <f t="shared" si="7"/>
        <v># Einführung ins Judentum
{: .r-fit-text}
### Wie werden die heiligen Schriften ausgelegt (und von wem)?
Sommersemester 2025
Prof. Dr. Nathan Gibson
## 📈 Rückblick: Lernziel
## 📈 Rückblick: 
## Projekt
## Einleitung
## Heutiges Lernziel
Einige jüdische sakrale Texte aufzählen und ihr Zusammenspiel mit mündlichen Praktiken erläutern.</v>
      </c>
      <c r="U8" t="str">
        <f t="shared" si="8"/>
        <v xml:space="preserve">
## Lektüre
## Diskussion
## Vorschau
Wie gestaltete sich jüdisches Leben in der Diaspora?</v>
      </c>
      <c r="V8" t="str">
        <f t="shared" si="9"/>
        <v>---
layout: reveal
title: 'Wie werden die heiligen Schriften ausgelegt (und von wem)?'
author: 'Nathan Gibson'
session: 5
tags: [5,slides]
category: slides
image: mishnah-frankfurt.jpg
parallaxBackgroundImage: 'assets/img/mishnah-frankfurt.jpg'
---
# Einführung ins Judentum
{: .r-fit-text}
### Wie werden die heiligen Schriften ausgelegt (und von wem)?
Sommersemester 2025
Prof. Dr. Nathan Gibson
## 📈 Rückblick: Lernziel
## 📈 Rückblick: 
## Projekt
## Einleitung
## Heutiges Lernziel
Einige jüdische sakrale Texte aufzählen und ihr Zusammenspiel mit mündlichen Praktiken erläutern.
## Lektüre
## Diskussion
## Vorschau
Wie gestaltete sich jüdisches Leben in der Diaspora?</v>
      </c>
    </row>
    <row r="9" spans="1:22" ht="18" customHeight="1" x14ac:dyDescent="0.2">
      <c r="B9" s="3">
        <v>6</v>
      </c>
      <c r="C9" s="8">
        <v>45820</v>
      </c>
      <c r="D9" s="4" t="str">
        <f t="shared" si="0"/>
        <v>2025-06-12-6.md</v>
      </c>
      <c r="E9" s="19" t="s">
        <v>26</v>
      </c>
      <c r="F9" s="4" t="s">
        <v>28</v>
      </c>
      <c r="G9" t="s">
        <v>43</v>
      </c>
      <c r="H9" t="s">
        <v>44</v>
      </c>
      <c r="I9" t="str">
        <f t="shared" si="4"/>
        <v>6. Historische Auseinandersetzungen: Sprachen &amp; kulturelle Konvergenzen</v>
      </c>
      <c r="J9" s="3">
        <f t="shared" si="1"/>
        <v>6</v>
      </c>
      <c r="K9" t="s">
        <v>64</v>
      </c>
      <c r="L9" t="str">
        <f>SUBSTITUTE(SUBSTITUTE(SUBSTITUTE(SUBSTITUTE(B9 &amp; ". " &amp; F9,".",""),"&amp;","")," ","-"),"--","-")</f>
        <v>6-Sprachen-kulturelle-Konvergenzen</v>
      </c>
      <c r="M9" s="21"/>
      <c r="N9" s="12" t="s">
        <v>50</v>
      </c>
      <c r="P9" t="str">
        <f t="shared" si="2"/>
        <v>[6]</v>
      </c>
      <c r="Q9" t="str">
        <f t="shared" si="3"/>
        <v>---
layout: post
session: 6
tags: [6]
level: overview
---</v>
      </c>
      <c r="R9" t="str">
        <f t="shared" si="5"/>
        <v>2025-06-12-6-slides.md</v>
      </c>
      <c r="S9" t="str">
        <f t="shared" si="6"/>
        <v xml:space="preserve">---
layout: reveal
title: 'Wie gestaltete sich jüdisches Leben in der Diaspora?'
author: 'Nathan Gibson'
session: 6
tags: [6,slides]
category: slides
image: beit-alpha-zodiac.jpg
parallaxBackgroundImage: 'assets/img/beit-alpha-zodiac.jpg'
---
</v>
      </c>
      <c r="T9" t="str">
        <f t="shared" si="7"/>
        <v># Einführung ins Judentum
{: .r-fit-text}
### Wie gestaltete sich jüdisches Leben in der Diaspora?
Sommersemester 2025
Prof. Dr. Nathan Gibson
## 📈 Rückblick: Lernziel
Einige jüdische sakrale Texte aufzählen und ihr Zusammenspiel mit mündlichen Praktiken erläutern.
## 📈 Rückblick: 
## Projekt
## Einleitung
## Heutiges Lernziel
Beispiele für die Folgen des sprachlichen und kulturellen Kontakts mit dem Aramäischen und Griechischen nennen.</v>
      </c>
      <c r="U9" t="str">
        <f t="shared" si="8"/>
        <v xml:space="preserve">
## Lektüre
## Diskussion
## Vorschau
</v>
      </c>
      <c r="V9" t="str">
        <f t="shared" si="9"/>
        <v xml:space="preserve">---
layout: reveal
title: 'Wie gestaltete sich jüdisches Leben in der Diaspora?'
author: 'Nathan Gibson'
session: 6
tags: [6,slides]
category: slides
image: beit-alpha-zodiac.jpg
parallaxBackgroundImage: 'assets/img/beit-alpha-zodiac.jpg'
---
# Einführung ins Judentum
{: .r-fit-text}
### Wie gestaltete sich jüdisches Leben in der Diaspora?
Sommersemester 2025
Prof. Dr. Nathan Gibson
## 📈 Rückblick: Lernziel
Einige jüdische sakrale Texte aufzählen und ihr Zusammenspiel mit mündlichen Praktiken erläutern.
## 📈 Rückblick: 
## Projekt
## Einleitung
## Heutiges Lernziel
Beispiele für die Folgen des sprachlichen und kulturellen Kontakts mit dem Aramäischen und Griechischen nennen.
## Lektüre
## Diskussion
## Vorschau
</v>
      </c>
    </row>
    <row r="10" spans="1:22" s="13" customFormat="1" ht="18" customHeight="1" x14ac:dyDescent="0.2">
      <c r="B10" s="14"/>
      <c r="C10" s="15">
        <v>45827</v>
      </c>
      <c r="D10" s="16" t="s">
        <v>19</v>
      </c>
      <c r="E10" s="20" t="s">
        <v>33</v>
      </c>
      <c r="F10" s="20" t="s">
        <v>33</v>
      </c>
      <c r="I10" s="13" t="str">
        <f t="shared" si="4"/>
        <v>. Fronleichnam (vorlesungsfrei): Fronleichnam (vorlesungsfrei)</v>
      </c>
      <c r="J10" s="14"/>
      <c r="R10" t="str">
        <f t="shared" si="5"/>
        <v>2025-06-19-corpus-christi-slides.md</v>
      </c>
      <c r="S10" t="str">
        <f t="shared" si="6"/>
        <v xml:space="preserve">---
layout: reveal
title: ''
author: 'Nathan Gibson'
session: 
tags: [,slides]
category: slides
image: 
parallaxBackgroundImage: 'assets/img/'
---
</v>
      </c>
      <c r="T10" t="str">
        <f t="shared" si="7"/>
        <v xml:space="preserve"># Einführung ins Judentum
{: .r-fit-text}
### 
Sommersemester 2025
Prof. Dr. Nathan Gibson
## 📈 Rückblick: Lernziel
Beispiele für die Folgen des sprachlichen und kulturellen Kontakts mit dem Aramäischen und Griechischen nennen.
## 📈 Rückblick: 
## Projekt
## Einleitung
## Heutiges Lernziel
</v>
      </c>
      <c r="U10" t="str">
        <f t="shared" si="8"/>
        <v xml:space="preserve">
## Lektüre
## Diskussion
## Vorschau
</v>
      </c>
      <c r="V10" t="str">
        <f t="shared" si="9"/>
        <v xml:space="preserve">---
layout: reveal
title: ''
author: 'Nathan Gibson'
session: 
tags: [,slides]
category: slides
image: 
parallaxBackgroundImage: 'assets/img/'
---
# Einführung ins Judentum
{: .r-fit-text}
### 
Sommersemester 2025
Prof. Dr. Nathan Gibson
## 📈 Rückblick: Lernziel
Beispiele für die Folgen des sprachlichen und kulturellen Kontakts mit dem Aramäischen und Griechischen nennen.
## 📈 Rückblick: 
## Projekt
## Einleitung
## Heutiges Lernziel
## Lektüre
## Diskussion
## Vorschau
</v>
      </c>
    </row>
    <row r="11" spans="1:22" ht="18" customHeight="1" x14ac:dyDescent="0.2">
      <c r="B11" s="3">
        <v>7</v>
      </c>
      <c r="C11" s="8">
        <v>45834</v>
      </c>
      <c r="D11" s="4" t="str">
        <f t="shared" si="0"/>
        <v>2025-06-26-7.md</v>
      </c>
      <c r="E11" s="19" t="s">
        <v>26</v>
      </c>
      <c r="F11" s="4" t="s">
        <v>22</v>
      </c>
      <c r="I11" t="str">
        <f t="shared" si="4"/>
        <v>7. Historische Auseinandersetzungen: Exkursion</v>
      </c>
      <c r="J11" s="3">
        <f t="shared" si="1"/>
        <v>7</v>
      </c>
      <c r="K11" t="s">
        <v>68</v>
      </c>
      <c r="L11" t="str">
        <f t="shared" si="10"/>
        <v>7-Exkursion</v>
      </c>
      <c r="M11" s="11"/>
      <c r="P11" t="str">
        <f t="shared" si="2"/>
        <v>[7]</v>
      </c>
      <c r="Q11" t="str">
        <f t="shared" si="3"/>
        <v>---
layout: post
session: 7
tags: [7]
level: overview
---</v>
      </c>
      <c r="R11" t="str">
        <f t="shared" si="5"/>
        <v>2025-06-26-7-slides.md</v>
      </c>
      <c r="S11" t="str">
        <f t="shared" si="6"/>
        <v xml:space="preserve">---
layout: reveal
title: ''
author: 'Nathan Gibson'
session: 7
tags: [7,slides]
category: slides
image: torah-crown.jpg
parallaxBackgroundImage: 'assets/img/torah-crown.jpg'
---
</v>
      </c>
      <c r="T11" t="str">
        <f t="shared" si="7"/>
        <v xml:space="preserve"># Einführung ins Judentum
{: .r-fit-text}
### 
Sommersemester 2025
Prof. Dr. Nathan Gibson
## 📈 Rückblick: Lernziel
## 📈 Rückblick: 
## Projekt
## Einleitung
## Heutiges Lernziel
</v>
      </c>
      <c r="U11" t="str">
        <f t="shared" si="8"/>
        <v xml:space="preserve">
## Lektüre
## Diskussion
## Vorschau
Wie haben sich Juden von anderen Monotheisten unterschieden?</v>
      </c>
      <c r="V11" t="str">
        <f t="shared" si="9"/>
        <v>---
layout: reveal
title: ''
author: 'Nathan Gibson'
session: 7
tags: [7,slides]
category: slides
image: torah-crown.jpg
parallaxBackgroundImage: 'assets/img/torah-crown.jpg'
---
# Einführung ins Judentum
{: .r-fit-text}
### 
Sommersemester 2025
Prof. Dr. Nathan Gibson
## 📈 Rückblick: Lernziel
## 📈 Rückblick: 
## Projekt
## Einleitung
## Heutiges Lernziel
## Lektüre
## Diskussion
## Vorschau
Wie haben sich Juden von anderen Monotheisten unterschieden?</v>
      </c>
    </row>
    <row r="12" spans="1:22" ht="18" customHeight="1" x14ac:dyDescent="0.2">
      <c r="B12" s="3">
        <v>8</v>
      </c>
      <c r="C12" s="8">
        <v>45841</v>
      </c>
      <c r="D12" s="4" t="str">
        <f t="shared" si="0"/>
        <v>2025-07-03-8.md</v>
      </c>
      <c r="E12" s="19" t="s">
        <v>26</v>
      </c>
      <c r="F12" s="4" t="s">
        <v>39</v>
      </c>
      <c r="G12" t="s">
        <v>36</v>
      </c>
      <c r="H12" t="s">
        <v>46</v>
      </c>
      <c r="I12" t="str">
        <f t="shared" si="4"/>
        <v>8. Historische Auseinandersetzungen: Juden, Samaritaner &amp; Gottesfürchtige</v>
      </c>
      <c r="J12" s="3">
        <f t="shared" si="1"/>
        <v>8</v>
      </c>
      <c r="K12" t="s">
        <v>61</v>
      </c>
      <c r="L12" t="str">
        <f t="shared" si="10"/>
        <v>8-Juden,-Samaritaner-Gottesfürchtige</v>
      </c>
      <c r="M12" s="21"/>
      <c r="N12" t="s">
        <v>45</v>
      </c>
      <c r="P12" t="str">
        <f t="shared" si="2"/>
        <v>[8]</v>
      </c>
      <c r="Q12" t="str">
        <f t="shared" si="3"/>
        <v>---
layout: post
session: 8
tags: [8]
level: overview
---</v>
      </c>
      <c r="R12" t="str">
        <f t="shared" si="5"/>
        <v>2025-07-03-8-slides.md</v>
      </c>
      <c r="S12" t="str">
        <f t="shared" si="6"/>
        <v xml:space="preserve">---
layout: reveal
title: 'Wie haben sich Juden von anderen Monotheisten unterschieden?'
author: 'Nathan Gibson'
session: 8
tags: [8,slides]
category: slides
image: 20090409-MT-gerizem-sameritan-sacrifice-highpriests-003-2.jpg
parallaxBackgroundImage: 'assets/img/20090409-MT-gerizem-sameritan-sacrifice-highpriests-003-2.jpg'
---
</v>
      </c>
      <c r="T12" t="str">
        <f t="shared" si="7"/>
        <v xml:space="preserve"># Einführung ins Judentum
{: .r-fit-text}
### Wie haben sich Juden von anderen Monotheisten unterschieden?
Sommersemester 2025
Prof. Dr. Nathan Gibson
## 📈 Rückblick: Lernziel
## 📈 Rückblick: 
## Projekt
## Einleitung
## Heutiges Lernziel
Die Entwicklung der jüdischen Selbstbestimmung skizzieren. </v>
      </c>
      <c r="U12" t="str">
        <f t="shared" si="8"/>
        <v xml:space="preserve">
## Lektüre
## Diskussion
## Vorschau
Wie trennten sich die Wege der verschiedenen Sekten?</v>
      </c>
      <c r="V12" t="str">
        <f t="shared" si="9"/>
        <v>---
layout: reveal
title: 'Wie haben sich Juden von anderen Monotheisten unterschieden?'
author: 'Nathan Gibson'
session: 8
tags: [8,slides]
category: slides
image: 20090409-MT-gerizem-sameritan-sacrifice-highpriests-003-2.jpg
parallaxBackgroundImage: 'assets/img/20090409-MT-gerizem-sameritan-sacrifice-highpriests-003-2.jpg'
---
# Einführung ins Judentum
{: .r-fit-text}
### Wie haben sich Juden von anderen Monotheisten unterschieden?
Sommersemester 2025
Prof. Dr. Nathan Gibson
## 📈 Rückblick: Lernziel
## 📈 Rückblick: 
## Projekt
## Einleitung
## Heutiges Lernziel
Die Entwicklung der jüdischen Selbstbestimmung skizzieren. 
## Lektüre
## Diskussion
## Vorschau
Wie trennten sich die Wege der verschiedenen Sekten?</v>
      </c>
    </row>
    <row r="13" spans="1:22" ht="18" customHeight="1" x14ac:dyDescent="0.2">
      <c r="B13" s="3">
        <v>9</v>
      </c>
      <c r="C13" s="8">
        <v>45848</v>
      </c>
      <c r="D13" s="4" t="str">
        <f t="shared" si="0"/>
        <v>2025-07-10-9.md</v>
      </c>
      <c r="E13" s="19" t="s">
        <v>26</v>
      </c>
      <c r="F13" s="4" t="s">
        <v>24</v>
      </c>
      <c r="G13" t="s">
        <v>37</v>
      </c>
      <c r="I13" t="str">
        <f t="shared" si="4"/>
        <v>9. Historische Auseinandersetzungen: Rabbiner &amp; messianische Bewegungen</v>
      </c>
      <c r="J13" s="3">
        <f t="shared" si="1"/>
        <v>9</v>
      </c>
      <c r="K13" t="s">
        <v>63</v>
      </c>
      <c r="L13" t="str">
        <f t="shared" si="10"/>
        <v>9-Rabbiner-messianische-Bewegungen</v>
      </c>
      <c r="M13" s="21"/>
      <c r="N13" t="s">
        <v>52</v>
      </c>
      <c r="P13" t="str">
        <f t="shared" si="2"/>
        <v>[9]</v>
      </c>
      <c r="Q13" t="str">
        <f t="shared" si="3"/>
        <v>---
layout: post
session: 9
tags: [9]
level: overview
---</v>
      </c>
      <c r="R13" t="str">
        <f t="shared" si="5"/>
        <v>2025-07-10-9-slides.md</v>
      </c>
      <c r="S13" t="str">
        <f t="shared" si="6"/>
        <v xml:space="preserve">---
layout: reveal
title: 'Wie trennten sich die Wege der verschiedenen Sekten?'
author: 'Nathan Gibson'
session: 9
tags: [9,slides]
category: slides
image: bar-kokhba-weight.jpg
parallaxBackgroundImage: 'assets/img/bar-kokhba-weight.jpg'
---
</v>
      </c>
      <c r="T13" t="str">
        <f t="shared" si="7"/>
        <v># Einführung ins Judentum
{: .r-fit-text}
### Wie trennten sich die Wege der verschiedenen Sekten?
Sommersemester 2025
Prof. Dr. Nathan Gibson
## 📈 Rückblick: Lernziel
Die Entwicklung der jüdischen Selbstbestimmung skizzieren. 
## 📈 Rückblick: 
## Projekt
## Einleitung
## Heutiges Lernziel
Gründe nennen, warum die Rabbiner nicht als alleinige Repräsentanten des Judentums in den ersten Jahrhunderten u.Z. anzusehen sind.</v>
      </c>
      <c r="U13" t="str">
        <f t="shared" si="8"/>
        <v xml:space="preserve">
## Lektüre
## Diskussion
## Vorschau
Wie positionierten sich Rabbiner als die Wahren gegenüber Karäern und Muslimen?</v>
      </c>
      <c r="V13" t="str">
        <f t="shared" si="9"/>
        <v>---
layout: reveal
title: 'Wie trennten sich die Wege der verschiedenen Sekten?'
author: 'Nathan Gibson'
session: 9
tags: [9,slides]
category: slides
image: bar-kokhba-weight.jpg
parallaxBackgroundImage: 'assets/img/bar-kokhba-weight.jpg'
---
# Einführung ins Judentum
{: .r-fit-text}
### Wie trennten sich die Wege der verschiedenen Sekten?
Sommersemester 2025
Prof. Dr. Nathan Gibson
## 📈 Rückblick: Lernziel
Die Entwicklung der jüdischen Selbstbestimmung skizzieren. 
## 📈 Rückblick: 
## Projekt
## Einleitung
## Heutiges Lernziel
Gründe nennen, warum die Rabbiner nicht als alleinige Repräsentanten des Judentums in den ersten Jahrhunderten u.Z. anzusehen sind.
## Lektüre
## Diskussion
## Vorschau
Wie positionierten sich Rabbiner als die Wahren gegenüber Karäern und Muslimen?</v>
      </c>
    </row>
    <row r="14" spans="1:22" ht="18" customHeight="1" x14ac:dyDescent="0.2">
      <c r="B14" s="3">
        <v>10</v>
      </c>
      <c r="C14" s="8">
        <v>45855</v>
      </c>
      <c r="D14" s="4" t="str">
        <f t="shared" si="0"/>
        <v>2025-07-17-10.md</v>
      </c>
      <c r="E14" s="19" t="s">
        <v>26</v>
      </c>
      <c r="F14" s="4" t="s">
        <v>57</v>
      </c>
      <c r="G14" t="s">
        <v>58</v>
      </c>
      <c r="I14" t="str">
        <f t="shared" si="4"/>
        <v>10. Historische Auseinandersetzungen: Rabbiner, Karäer und Muslime</v>
      </c>
      <c r="J14" s="3">
        <f t="shared" si="1"/>
        <v>10</v>
      </c>
      <c r="K14" s="10" t="s">
        <v>62</v>
      </c>
      <c r="L14" t="str">
        <f t="shared" si="10"/>
        <v>10-Rabbiner,-Karäer-und-Muslime</v>
      </c>
      <c r="M14" s="11"/>
      <c r="N14" t="s">
        <v>59</v>
      </c>
      <c r="P14" t="str">
        <f t="shared" si="2"/>
        <v>[10]</v>
      </c>
      <c r="Q14" t="str">
        <f t="shared" si="3"/>
        <v>---
layout: post
session: 10
tags: [10]
level: overview
---</v>
      </c>
      <c r="R14" t="str">
        <f t="shared" si="5"/>
        <v>2025-07-17-10-slides.md</v>
      </c>
      <c r="S14" t="str">
        <f t="shared" si="6"/>
        <v xml:space="preserve">---
layout: reveal
title: 'Wie positionierten sich Rabbiner als die Wahren gegenüber Karäern und Muslimen?'
author: 'Nathan Gibson'
session: 10
tags: [10,slides]
category: slides
image: torah-islamicate.jpg
parallaxBackgroundImage: 'assets/img/torah-islamicate.jpg'
---
</v>
      </c>
      <c r="T14" t="str">
        <f t="shared" si="7"/>
        <v># Einführung ins Judentum
{: .r-fit-text}
### Wie positionierten sich Rabbiner als die Wahren gegenüber Karäern und Muslimen?
Sommersemester 2025
Prof. Dr. Nathan Gibson
## 📈 Rückblick: Lernziel
Gründe nennen, warum die Rabbiner nicht als alleinige Repräsentanten des Judentums in den ersten Jahrhunderten u.Z. anzusehen sind.
## 📈 Rückblick: 
## Projekt
## Einleitung
## Heutiges Lernziel
Einige Unterschiede zwischen Rabbinern, Karäern und Muslimen benennen.</v>
      </c>
      <c r="U14" t="str">
        <f t="shared" si="8"/>
        <v xml:space="preserve">
## Lektüre
## Diskussion
## Vorschau
Was haben Sie in diesem Kurs gelernt?</v>
      </c>
      <c r="V14" t="str">
        <f t="shared" si="9"/>
        <v>---
layout: reveal
title: 'Wie positionierten sich Rabbiner als die Wahren gegenüber Karäern und Muslimen?'
author: 'Nathan Gibson'
session: 10
tags: [10,slides]
category: slides
image: torah-islamicate.jpg
parallaxBackgroundImage: 'assets/img/torah-islamicate.jpg'
---
# Einführung ins Judentum
{: .r-fit-text}
### Wie positionierten sich Rabbiner als die Wahren gegenüber Karäern und Muslimen?
Sommersemester 2025
Prof. Dr. Nathan Gibson
## 📈 Rückblick: Lernziel
Gründe nennen, warum die Rabbiner nicht als alleinige Repräsentanten des Judentums in den ersten Jahrhunderten u.Z. anzusehen sind.
## 📈 Rückblick: 
## Projekt
## Einleitung
## Heutiges Lernziel
Einige Unterschiede zwischen Rabbinern, Karäern und Muslimen benennen.
## Lektüre
## Diskussion
## Vorschau
Was haben Sie in diesem Kurs gelernt?</v>
      </c>
    </row>
    <row r="15" spans="1:22" ht="18" customHeight="1" x14ac:dyDescent="0.2">
      <c r="B15" s="3">
        <v>11</v>
      </c>
      <c r="C15" s="8">
        <v>45862</v>
      </c>
      <c r="D15" s="4" t="str">
        <f t="shared" si="0"/>
        <v>2025-07-24-11.md</v>
      </c>
      <c r="E15" s="19"/>
      <c r="F15" s="4" t="s">
        <v>23</v>
      </c>
      <c r="G15" t="s">
        <v>30</v>
      </c>
      <c r="I15" t="str">
        <f t="shared" si="4"/>
        <v>11. : Rückblick</v>
      </c>
      <c r="J15" s="3">
        <f t="shared" si="1"/>
        <v>11</v>
      </c>
      <c r="K15" t="s">
        <v>70</v>
      </c>
      <c r="L15" t="str">
        <f t="shared" si="10"/>
        <v>11-Rückblick</v>
      </c>
      <c r="M15" s="9"/>
      <c r="N15" t="s">
        <v>53</v>
      </c>
      <c r="P15" t="str">
        <f t="shared" si="2"/>
        <v>[11]</v>
      </c>
      <c r="Q15" t="str">
        <f t="shared" si="3"/>
        <v>---
layout: post
session: 11
tags: [11]
level: overview
---</v>
      </c>
      <c r="R15" t="str">
        <f t="shared" ref="R15" si="11">_xlfn.REGEXREPLACE(D15,"\.md","-slides.md")</f>
        <v>2025-07-24-11-slides.md</v>
      </c>
      <c r="S15" t="str">
        <f t="shared" ref="S15" si="12">"---
layout: reveal
title: '"&amp;G15&amp;"'
author: 'Nathan Gibson'
session: "&amp;B15&amp;"
tags: ["&amp;B15&amp;",slides]
category: slides
image: "&amp;K15&amp;"
parallaxBackgroundImage: 'assets/img/"&amp;K15&amp;"'
---
"</f>
        <v xml:space="preserve">---
layout: reveal
title: 'Was haben Sie in diesem Kurs gelernt?'
author: 'Nathan Gibson'
session: 11
tags: [11,slides]
category: slides
image: scroll.jpg
parallaxBackgroundImage: 'assets/img/scroll.jpg'
---
</v>
      </c>
      <c r="T15" t="str">
        <f t="shared" si="7"/>
        <v># Einführung ins Judentum
{: .r-fit-text}
### Was haben Sie in diesem Kurs gelernt?
Sommersemester 2025
Prof. Dr. Nathan Gibson
## 📈 Rückblick: Lernziel
Einige Unterschiede zwischen Rabbinern, Karäern und Muslimen benennen.
## 📈 Rückblick: 
## Projekt
## Einleitung
## Heutiges Lernziel
Das im Kurs neu erworbene Wissen zusammenfassen und festigen.</v>
      </c>
      <c r="U15" t="str">
        <f t="shared" ref="U15" si="13">"
## Lektüre
## Diskussion
## Vorschau
"&amp;G16</f>
        <v xml:space="preserve">
## Lektüre
## Diskussion
## Vorschau
</v>
      </c>
      <c r="V15" t="str">
        <f t="shared" ref="V15" si="14">_xlfn.CONCAT(S15:U15)</f>
        <v xml:space="preserve">---
layout: reveal
title: 'Was haben Sie in diesem Kurs gelernt?'
author: 'Nathan Gibson'
session: 11
tags: [11,slides]
category: slides
image: scroll.jpg
parallaxBackgroundImage: 'assets/img/scroll.jpg'
---
# Einführung ins Judentum
{: .r-fit-text}
### Was haben Sie in diesem Kurs gelernt?
Sommersemester 2025
Prof. Dr. Nathan Gibson
## 📈 Rückblick: Lernziel
Einige Unterschiede zwischen Rabbinern, Karäern und Muslimen benennen.
## 📈 Rückblick: 
## Projekt
## Einleitung
## Heutiges Lernziel
Das im Kurs neu erworbene Wissen zusammenfassen und festigen.
## Lektüre
## Diskussion
## Vorschau
</v>
      </c>
    </row>
    <row r="16" spans="1:22" x14ac:dyDescent="0.2">
      <c r="E16" s="4"/>
    </row>
    <row r="17" spans="5:10" x14ac:dyDescent="0.2">
      <c r="E17" s="4"/>
    </row>
    <row r="18" spans="5:10" x14ac:dyDescent="0.2">
      <c r="J18"/>
    </row>
    <row r="19" spans="5:10" x14ac:dyDescent="0.2">
      <c r="J19"/>
    </row>
    <row r="20" spans="5:10" x14ac:dyDescent="0.2">
      <c r="J20"/>
    </row>
    <row r="21" spans="5:10" x14ac:dyDescent="0.2">
      <c r="J21"/>
    </row>
    <row r="22" spans="5:10" x14ac:dyDescent="0.2">
      <c r="J22"/>
    </row>
    <row r="23" spans="5:10" x14ac:dyDescent="0.2">
      <c r="J23"/>
    </row>
    <row r="24" spans="5:10" x14ac:dyDescent="0.2">
      <c r="J24"/>
    </row>
    <row r="25" spans="5:10" x14ac:dyDescent="0.2">
      <c r="J25"/>
    </row>
    <row r="26" spans="5:10" x14ac:dyDescent="0.2">
      <c r="J26"/>
    </row>
    <row r="27" spans="5:10" x14ac:dyDescent="0.2">
      <c r="J27"/>
    </row>
    <row r="28" spans="5:10" x14ac:dyDescent="0.2">
      <c r="J28"/>
    </row>
    <row r="29" spans="5:10" x14ac:dyDescent="0.2">
      <c r="J29"/>
    </row>
    <row r="30" spans="5:10" x14ac:dyDescent="0.2">
      <c r="J30"/>
    </row>
    <row r="31" spans="5:10" x14ac:dyDescent="0.2">
      <c r="J31"/>
    </row>
  </sheetData>
  <pageMargins left="0.7" right="0.7" top="0.75" bottom="0.75" header="0.3" footer="0.3"/>
  <pageSetup paperSize="9" scale="2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 Gibson</cp:lastModifiedBy>
  <cp:lastPrinted>2024-04-18T12:58:24Z</cp:lastPrinted>
  <dcterms:created xsi:type="dcterms:W3CDTF">2023-10-09T09:26:31Z</dcterms:created>
  <dcterms:modified xsi:type="dcterms:W3CDTF">2025-05-27T09:55:32Z</dcterms:modified>
</cp:coreProperties>
</file>