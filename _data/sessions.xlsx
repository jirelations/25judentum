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B77304CC-3F6C-4742-B144-9B514330B19C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<sst xmlns="http://schemas.openxmlformats.org/spreadsheetml/2006/main" count="84" uniqueCount="72">
  <si>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</si>
  <si>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</si>
  <si>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</si>
  <si>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</si>
  <si>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</si>
  <si>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</si>
  <si>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</si>
  <si>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</si>
  <si>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</si>
  <si>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</si>
  <si>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</si>
  <si>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</si>
  <si>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</si>
  <si>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</si>
  <si>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</si>
  <si>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</si>
  <si>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</si>
  <si>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</si>
  <si>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</si>
  <si>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</si>
  <si>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</si>
  <si>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</si>
  <si>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</si>
  <si>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</si>
  <si>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</si>
  <si>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</si>
  <si>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</si>
  <si>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</si>
  <si>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</si>
  <si>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</si>
  <si>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</si>
  <si>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</si>
  <si>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</si>
  <si>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</si>
  <si>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</si>
  <si>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</si>
  <si>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</si>
  <si>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</si>
  <si>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</si>
  <si>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</si>
  <si>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</si>
  <si>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</si>
  <si>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</si>
  <si>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</si>
  <si>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</si>
  <si>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 xml:space="preserve">Die Entwicklung der jüdischen Selbstbestimmung skizzieren. 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</si>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</sst>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2" borderId="0" applyNumberFormat="0" applyBorder="0" applyAlignment="0" applyProtection="0"/>
  </cellStyleXfs>
  <cellXfs count="2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6" fillId="0" borderId="1" xfId="0" applyFont="1" applyBorder="1"/>
    <xf numFmtId="0" fontId="2" fillId="0" borderId="0" xfId="0" applyFont="1"/>
    <xf numFmtId="0" fontId="0" fillId="0" borderId="0" xfId="0" applyAlignment="1">
      <alignment wrapText="1"/>
    </xf>
    <xf numFmtId="0" fontId="7" fillId="2" borderId="0" xfId="1"/>
    <xf numFmtId="3" fontId="7" fillId="2" borderId="1" xfId="1" applyNumberFormat="1" applyBorder="1" applyAlignment="1">
      <alignment horizontal="right"/>
    </xf>
    <xf numFmtId="166" fontId="7" fillId="2" borderId="1" xfId="1" applyNumberFormat="1" applyBorder="1" applyAlignment="1">
      <alignment horizontal="left"/>
    </xf>
    <xf numFmtId="164" fontId="7" fillId="2" borderId="1" xfId="1" applyNumberFormat="1" applyBorder="1" applyAlignment="1">
      <alignment horizontal="left"/>
    </xf>
    <xf numFmtId="165" fontId="7" fillId="2" borderId="0" xfId="1" applyNumberFormat="1"/>
    <xf numFmtId="0" fontId="7" fillId="2" borderId="0" xfId="1" applyAlignment="1">
      <alignment wrapText="1"/>
    </xf>
    <xf numFmtId="164" fontId="6" fillId="0" borderId="1" xfId="0" applyNumberFormat="1" applyFont="1" applyBorder="1" applyAlignment="1">
      <alignment horizontal="left"/>
    </xf>
    <xf numFmtId="164" fontId="7" fillId="3" borderId="1" xfId="0" applyNumberFormat="1" applyFont="1" applyFill="1" applyBorder="1" applyAlignment="1">
      <alignment horizontal="left"/>
    </xf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31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N6" sqref="N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60</v>
      </c>
      <c r="L2" t="str">
        <f>SUBSTITUTE(SUBSTITUTE(SUBSTITUTE(SUBSTITUTE(B2 &amp; ". " &amp; F2,".",""),"&amp;","")," ","-"),"--","-")</f>
        <v>1-Einführung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66</v>
      </c>
      <c r="L4" t="str">
        <f t="shared" ref="L4:L15" si="5">SUBSTITUTE(SUBSTITUTE(SUBSTITUTE(SUBSTITUTE(B4 &amp; ". " &amp; F4,".",""),"&amp;","")," ","-"),"--","-")</f>
        <v>2-Thora-Bund</v>
      </c>
      <c r="M4" s="21" t="s">
        <v>54</v>
      </c>
      <c r="N4" t="s">
        <v>47</v>
      </c>
      <c r="O4" t="s">
        <v>55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56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65</v>
      </c>
      <c r="L5" t="str">
        <f t="shared" si="5"/>
        <v>3-Tempel-Synagogen</v>
      </c>
      <c r="M5" s="11"/>
      <c r="N5" s="12" t="s">
        <v>48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71</v>
      </c>
      <c r="I6" t="str">
        <f t="shared" si="4"/>
        <v>4. Fundamenten: Exkursion</v>
      </c>
      <c r="J6" s="3">
        <f t="shared" si="1"/>
        <v>4</v>
      </c>
      <c r="K6" t="s">
        <v>67</v>
      </c>
      <c r="L6" t="str">
        <f t="shared" si="5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69</v>
      </c>
      <c r="L8" t="str">
        <f>SUBSTITUTE(SUBSTITUTE(SUBSTITUTE(SUBSTITUTE(B8 &amp; ". " &amp; F8,".",""),"&amp;","")," ","-"),"--","-")</f>
        <v>5-Mischna,-Talmud-Midrasch</v>
      </c>
      <c r="M8" s="21"/>
      <c r="N8" s="12" t="s">
        <v>49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64</v>
      </c>
      <c r="L9" t="str">
        <f>SUBSTITUTE(SUBSTITUTE(SUBSTITUTE(SUBSTITUTE(B9 &amp; ". " &amp; F9,".",""),"&amp;","")," ","-"),"--","-")</f>
        <v>6-Sprachen-kulturelle-Konvergenzen</v>
      </c>
      <c r="M9" s="21"/>
      <c r="N9" s="12" t="s">
        <v>50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22</v>
      </c>
      <c r="I11" t="str">
        <f t="shared" si="4"/>
        <v>7. Historische Auseinandersetzungen: Exkursion</v>
      </c>
      <c r="J11" s="3">
        <f t="shared" si="1"/>
        <v>7</v>
      </c>
      <c r="K11" t="s">
        <v>68</v>
      </c>
      <c r="L11" t="str">
        <f t="shared" si="5"/>
        <v>7-Exkursion</v>
      </c>
      <c r="M11" s="11"/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39</v>
      </c>
      <c r="G12" t="s">
        <v>36</v>
      </c>
      <c r="H12" t="s">
        <v>46</v>
      </c>
      <c r="I12" t="str">
        <f t="shared" si="4"/>
        <v>8. Historische Auseinandersetzungen: Juden, Samaritaner &amp; Gottesfürchtige</v>
      </c>
      <c r="J12" s="3">
        <f t="shared" si="1"/>
        <v>8</v>
      </c>
      <c r="K12" t="s">
        <v>61</v>
      </c>
      <c r="L12" t="str">
        <f t="shared" si="5"/>
        <v>8-Juden,-Samaritaner-Gottesfürchtige</v>
      </c>
      <c r="M12" s="21"/>
      <c r="N12" t="s">
        <v>45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24</v>
      </c>
      <c r="G13" t="s">
        <v>37</v>
      </c>
      <c r="I13" t="str">
        <f t="shared" si="4"/>
        <v>9. Historische Auseinandersetzungen: Rabbiner &amp; messianische Bewegungen</v>
      </c>
      <c r="J13" s="3">
        <f t="shared" si="1"/>
        <v>9</v>
      </c>
      <c r="K13" t="s">
        <v>63</v>
      </c>
      <c r="L13" t="str">
        <f t="shared" si="5"/>
        <v>9-Rabbiner-messianische-Bewegungen</v>
      </c>
      <c r="M13" s="21"/>
      <c r="N13" t="s">
        <v>52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57</v>
      </c>
      <c r="G14" t="s">
        <v>58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62</v>
      </c>
      <c r="L14" t="str">
        <f t="shared" si="5"/>
        <v>10-Rabbiner,-Karäer-und-Muslime</v>
      </c>
      <c r="M14" s="11"/>
      <c r="N14" t="s">
        <v>59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70</v>
      </c>
      <c r="L15" t="str">
        <f t="shared" si="5"/>
        <v>11-Rückblick</v>
      </c>
      <c r="M15" s="9"/>
      <c r="N15" t="s">
        <v>53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0" x14ac:dyDescent="0.2">
      <c r="E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2025-05-08T04:02:02Z</dcterms:modified>
</cp:coreProperties>
</file>