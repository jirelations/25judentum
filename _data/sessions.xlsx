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61294F99-6564-EC4A-8AF3-87F3B2E08FDE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T12" i="1"/>
  <c r="T13" i="1"/>
  <c r="T14" i="1"/>
  <c r="T15" i="1"/>
  <c r="V15" i="1" s="1"/>
  <c r="T2" i="1"/>
  <c r="V2" i="1" s="1"/>
  <c r="R15" i="1"/>
  <c r="S15" i="1"/>
  <c r="U15" i="1"/>
  <c r="U14" i="1"/>
  <c r="S14" i="1"/>
  <c r="V14" i="1" s="1"/>
  <c r="R14" i="1"/>
  <c r="U13" i="1"/>
  <c r="S13" i="1"/>
  <c r="V13" i="1" s="1"/>
  <c r="R13" i="1"/>
  <c r="U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12" i="1" l="1"/>
  <c r="V11" i="1"/>
  <c r="V6" i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<sst xmlns="http://schemas.openxmlformats.org/spreadsheetml/2006/main" count="94" uniqueCount="82">
  <si>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</si>
  <si>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</si>
  <si>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</si>
  <si>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</si>
  <si>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</si>
  <si>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</si>
  <si>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</si>
  <si>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</si>
  <si>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</si>
  <si>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</si>
  <si>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</si>
  <si>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</si>
  <si>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</si>
  <si>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</si>
  <si>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</si>
  <si>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</si>
  <si>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</si>
  <si>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</si>
  <si>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</si>
  <si>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</si>
  <si>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</si>
  <si>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</si>
  <si>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</si>
  <si>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</si>
  <si>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</si>
  <si>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</si>
  <si>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</si>
  <si>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</si>
  <si>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</si>
  <si>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</si>
  <si>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</si>
  <si>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</si>
  <si>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</si>
  <si>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</si>
  <si>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</si>
  <si>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</si>
  <si>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</si>
  <si>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</si>
  <si>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</si>
  <si>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</si>
  <si>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</si>
  <si>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</si>
  <si>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</si>
  <si>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</si>
  <si>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</si>
  <si>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 xml:space="preserve">Die Entwicklung der jüdischen Selbstbestimmung skizzieren. 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</si>
  <si>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</si>
  <si>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</si>
  <si>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</si>
  <si>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</si>
  <si>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</si>
  <si>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</si>
  <si>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</si>
  <si>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</si>
  <si>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</si>
  <si>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</si>
  <si>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</si>
  <si>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</si>
  <si>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</si>
  <si>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</si>
  <si>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</si>
  <si>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</si>
  <si>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</si>
  <si>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</si>
  <si>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</si>
  <si>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</si>
  <si>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</si>
  <si>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</si>
  <si>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</si>
  <si>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</si>
  <si>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</si>
  <si>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</si>
  <si>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</si>
  <si>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</si>
  <si>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</si>
  <si>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</si>
  <si>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</si>
  <si>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</si>
  <si>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</si>
  <si>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</si>
  <si>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</si>
  <si>
    <t>kartveitTheoriesOriginSamaritans2019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</si>
</sst>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2" borderId="0" applyNumberFormat="0" applyBorder="0" applyAlignment="0" applyProtection="0"/>
  </cellStyleXfs>
  <cellXfs count="24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8" fillId="0" borderId="1" xfId="0" applyFont="1" applyBorder="1"/>
    <xf numFmtId="0" fontId="4" fillId="0" borderId="0" xfId="0" applyFont="1"/>
    <xf numFmtId="0" fontId="0" fillId="0" borderId="0" xfId="0" applyAlignment="1">
      <alignment wrapText="1"/>
    </xf>
    <xf numFmtId="0" fontId="9" fillId="2" borderId="0" xfId="1"/>
    <xf numFmtId="3" fontId="9" fillId="2" borderId="1" xfId="1" applyNumberFormat="1" applyBorder="1" applyAlignment="1">
      <alignment horizontal="right"/>
    </xf>
    <xf numFmtId="166" fontId="9" fillId="2" borderId="1" xfId="1" applyNumberFormat="1" applyBorder="1" applyAlignment="1">
      <alignment horizontal="left"/>
    </xf>
    <xf numFmtId="164" fontId="9" fillId="2" borderId="1" xfId="1" applyNumberFormat="1" applyBorder="1" applyAlignment="1">
      <alignment horizontal="left"/>
    </xf>
    <xf numFmtId="165" fontId="9" fillId="2" borderId="0" xfId="1" applyNumberFormat="1"/>
    <xf numFmtId="0" fontId="9" fillId="2" borderId="0" xfId="1" applyAlignment="1">
      <alignment wrapText="1"/>
    </xf>
    <xf numFmtId="164" fontId="8" fillId="0" borderId="1" xfId="0" applyNumberFormat="1" applyFont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J2" activePane="bottomRight" state="frozen"/>
      <selection activeCell="B1" sqref="B1"/>
      <selection pane="topRight" activeCell="H1" sqref="H1"/>
      <selection pane="bottomLeft" activeCell="B2" sqref="B2"/>
      <selection pane="bottomRight" activeCell="N11" sqref="N11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60</v>
      </c>
      <c r="L2" t="str">
        <f>SUBSTITUTE(SUBSTITUTE(SUBSTITUTE(SUBSTITUTE(B2 &amp; ". " &amp; F2,".",""),"&amp;","")," ","-"),"--","-")</f>
        <v>1-Einführung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66</v>
      </c>
      <c r="L4" t="str">
        <f t="shared" ref="L4:L15" si="10">SUBSTITUTE(SUBSTITUTE(SUBSTITUTE(SUBSTITUTE(B4 &amp; ". " &amp; F4,".",""),"&amp;","")," ","-"),"--","-")</f>
        <v>2-Thora-Bund</v>
      </c>
      <c r="M4" s="21" t="s">
        <v>54</v>
      </c>
      <c r="N4" t="s">
        <v>47</v>
      </c>
      <c r="O4" t="s">
        <v>55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56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65</v>
      </c>
      <c r="L5" t="str">
        <f t="shared" si="10"/>
        <v>3-Tempel-Synagogen</v>
      </c>
      <c r="M5" s="11" t="s">
        <v>77</v>
      </c>
      <c r="N5" s="12" t="s">
        <v>48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71</v>
      </c>
      <c r="I6" t="str">
        <f t="shared" si="4"/>
        <v>4. Fundamenten: Exkursion</v>
      </c>
      <c r="J6" s="3">
        <f t="shared" si="1"/>
        <v>4</v>
      </c>
      <c r="K6" t="s">
        <v>67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69</v>
      </c>
      <c r="L8" t="str">
        <f>SUBSTITUTE(SUBSTITUTE(SUBSTITUTE(SUBSTITUTE(B8 &amp; ". " &amp; F8,".",""),"&amp;","")," ","-"),"--","-")</f>
        <v>5-Mischna,-Talmud-Midrasch</v>
      </c>
      <c r="M8" s="22" t="s">
        <v>78</v>
      </c>
      <c r="N8" s="12" t="s">
        <v>49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64</v>
      </c>
      <c r="L9" t="str">
        <f>SUBSTITUTE(SUBSTITUTE(SUBSTITUTE(SUBSTITUTE(B9 &amp; ". " &amp; F9,".",""),"&amp;","")," ","-"),"--","-")</f>
        <v>6-Sprachen-kulturelle-Konvergenzen</v>
      </c>
      <c r="M9" s="23" t="s">
        <v>79</v>
      </c>
      <c r="N9" s="12" t="s">
        <v>50</v>
      </c>
      <c r="O9" t="s">
        <v>80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Wie haben sich Juden von anderen Monotheisten unterschieden?</v>
      </c>
      <c r="V10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Wie haben sich Juden von anderen Monotheisten unterschieden?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39</v>
      </c>
      <c r="G11" t="s">
        <v>36</v>
      </c>
      <c r="I11" t="str">
        <f t="shared" si="4"/>
        <v>7. Historische Auseinandersetzungen: Juden, Samaritaner &amp; Gottesfürchtige</v>
      </c>
      <c r="J11" s="3">
        <f t="shared" si="1"/>
        <v>7</v>
      </c>
      <c r="K11" t="s">
        <v>61</v>
      </c>
      <c r="L11" t="str">
        <f t="shared" si="10"/>
        <v>7-Juden,-Samaritaner-Gottesfürchtige</v>
      </c>
      <c r="M11" s="11" t="s">
        <v>81</v>
      </c>
      <c r="N11" t="s">
        <v>45</v>
      </c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</v>
      </c>
      <c r="T11" t="str">
        <f t="shared" si="7"/>
        <v xml:space="preserve"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</v>
      </c>
      <c r="U11" t="str">
        <f t="shared" si="8"/>
        <v xml:space="preserve">
## Lektüre
## Diskussion
## Vorschau
Wie trennten sich die Wege der verschiedenen Sekten?</v>
      </c>
      <c r="V11" t="str">
        <f t="shared" si="9"/>
        <v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
## Lektüre
## Diskussion
## Vorschau
Wie trennten sich die Wege der verschiedenen Sekten?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24</v>
      </c>
      <c r="G12" t="s">
        <v>37</v>
      </c>
      <c r="H12" t="s">
        <v>46</v>
      </c>
      <c r="I12" t="str">
        <f t="shared" si="4"/>
        <v>8. Historische Auseinandersetzungen: Rabbiner &amp; messianische Bewegungen</v>
      </c>
      <c r="J12" s="3">
        <f t="shared" si="1"/>
        <v>8</v>
      </c>
      <c r="K12" t="s">
        <v>63</v>
      </c>
      <c r="L12" t="str">
        <f t="shared" si="10"/>
        <v>8-Rabbiner-messianische-Bewegungen</v>
      </c>
      <c r="M12" s="21"/>
      <c r="N12" t="s">
        <v>52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trennten sich die Wege der verschiedenen Sekten?'
author: 'Nathan Gibson'
session: 8
tags: [8,slides]
category: slides
image: bar-kokhba-weight.jpg
parallaxBackgroundImage: 'assets/img/bar-kokhba-weight.jpg'
---
</v>
      </c>
      <c r="T12" t="str">
        <f t="shared" si="7"/>
        <v>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</v>
      </c>
      <c r="U12" t="str">
        <f t="shared" si="8"/>
        <v xml:space="preserve">
## Lektüre
## Diskussion
## Vorschau
</v>
      </c>
      <c r="V12" t="str">
        <f t="shared" si="9"/>
        <v xml:space="preserve">---
layout: reveal
title: 'Wie trennten sich die Wege der verschiedenen Sekten?'
author: 'Nathan Gibson'
session: 8
tags: [8,slides]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
## Lektüre
## Diskussion
## Vorschau
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22</v>
      </c>
      <c r="I13" t="str">
        <f t="shared" si="4"/>
        <v>9. Historische Auseinandersetzungen: Exkursion</v>
      </c>
      <c r="J13" s="3">
        <f t="shared" si="1"/>
        <v>9</v>
      </c>
      <c r="K13" t="s">
        <v>68</v>
      </c>
      <c r="L13" t="str">
        <f t="shared" si="10"/>
        <v>9-Exkursion</v>
      </c>
      <c r="M13" s="21"/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''
author: 'Nathan Gibson'
session: 9
tags: [9,slides]
category: slides
image: torah-crown.jpg
parallaxBackgroundImage: 'assets/img/torah-crown.jpg'
---
</v>
      </c>
      <c r="T13" t="str">
        <f t="shared" si="7"/>
        <v xml:space="preserve">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</v>
      </c>
      <c r="U13" t="str">
        <f t="shared" si="8"/>
        <v xml:space="preserve">
## Lektüre
## Diskussion
## Vorschau
Wie positionierten sich Rabbiner als die Wahren gegenüber Karäern und Muslimen?</v>
      </c>
      <c r="V13" t="str">
        <f t="shared" si="9"/>
        <v>---
layout: reveal
title: ''
author: 'Nathan Gibson'
session: 9
tags: [9,slides]
category: slides
image: torah-crown.jpg
parallaxBackgroundImage: 'assets/img/torah-crown.jpg'
---
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## Lektüre
## Diskussion
## Vorschau
Wie positionierten sich Rabbiner als die Wahren gegenüber Karäern und Muslimen?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57</v>
      </c>
      <c r="G14" t="s">
        <v>58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62</v>
      </c>
      <c r="L14" t="str">
        <f t="shared" si="10"/>
        <v>10-Rabbiner,-Karäer-und-Muslime</v>
      </c>
      <c r="M14" s="11"/>
      <c r="N14" t="s">
        <v>59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'Wie positionierten sich Rabbiner als die Wahren gegenüber Karäern und Muslimen?'
author: 'Nathan Gibson'
session: 10
tags: [10,slides]
category: slides
image: torah-islamicate.jpg
parallaxBackgroundImage: 'assets/img/torah-islamicate.jpg'
---
</v>
      </c>
      <c r="T14" t="str">
        <f t="shared" si="7"/>
        <v># Einführung ins Judentum
{: .r-fit-text}
### Wie positionierten sich Rabbiner als die Wahren gegenüber Karäern und Muslimen?
Sommersemester 2025
Prof. Dr. Nathan Gibson
## 📈 Rückblick: Lernziel
## 📈 Rückblick: 
## Projekt
## Einleitung
## Heutiges Lernziel
Einige Unterschiede zwischen Rabbinern, Karäern und Muslimen benennen.</v>
      </c>
      <c r="U14" t="str">
        <f t="shared" si="8"/>
        <v xml:space="preserve">
## Lektüre
## Diskussion
## Vorschau
Was haben Sie in diesem Kurs gelernt?</v>
      </c>
      <c r="V14" t="str">
        <f t="shared" si="9"/>
        <v>---
layout: reveal
title: 'Wie positionierten sich Rabbiner als die Wahren gegenüber Karäern und Muslimen?'
author: 'Nathan Gibson'
session: 10
tags: [10,slides]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## 📈 Rückblick: 
## Projekt
## Einleitung
## Heutiges Lernziel
Einige Unterschiede zwischen Rabbinern, Karäern und Muslimen benennen.
## Lektüre
## Diskussion
## Vorschau
Was haben Sie in diesem Kurs gelernt?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70</v>
      </c>
      <c r="L15" t="str">
        <f t="shared" si="10"/>
        <v>11-Rückblick</v>
      </c>
      <c r="M15" s="9"/>
      <c r="N15" t="s">
        <v>53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'Was haben Sie in diesem Kurs gelernt?'
author: 'Nathan Gibson'
session: 11
tags: [11,slides]
category: slides
image: scroll.jpg
parallaxBackgroundImage: 'assets/img/scroll.jpg'
---
</v>
      </c>
      <c r="T15" t="str">
        <f t="shared" si="7"/>
        <v>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'Was haben Sie in diesem Kurs gelernt?'
author: 'Nathan Gibson'
session: 11
tags: [11,slides]
category: slides
image: scroll.jpg
parallaxBackgroundImage: 'assets/img/scroll.jpg'
---
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
## Lektüre
## Diskussion
## Vorschau
</v>
      </c>
    </row>
    <row r="16" spans="1:22" x14ac:dyDescent="0.2">
      <c r="E16" s="4"/>
    </row>
    <row r="17" spans="5:10" x14ac:dyDescent="0.2">
      <c r="E17" s="19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2025-06-18T15:13:19Z</dcterms:modified>
</cp:coreProperties>
</file>